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8946e8e394623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ohort" sheetId="1" ns1:id="R5a55a2aa2ebe4863"/>
    <sheet name="Mouse 01" sheetId="2" ns1:id="R548f2f2762884c8e"/>
    <sheet name="Mouse 02" sheetId="3" ns1:id="R093a013188d64f45"/>
    <sheet name="Mouse 03" sheetId="4" ns1:id="Rb3ad7d865144432d"/>
    <sheet name="Mouse 04" sheetId="5" ns1:id="R1d80240bdb3f4cde"/>
    <sheet name="Mouse 05" sheetId="6" ns1:id="Rddd0dc785dbd4974"/>
    <sheet name="Mouse 06" sheetId="7" ns1:id="R0edc75eb5c404962"/>
    <sheet name="Mouse 07" sheetId="8" ns1:id="Rb9add0ad2f98402d"/>
    <sheet name="Mouse 08" sheetId="9" ns1:id="Rb97ed8b071a548b6"/>
    <sheet name="Mouse 09" sheetId="10" ns1:id="R5bf26aef1e924aaa"/>
    <sheet name="Mouse 10" sheetId="11" ns1:id="R53634f6106c1448e"/>
    <sheet name="Mouse 11" sheetId="12" ns1:id="Rb8a0e9fbf9604175"/>
    <sheet name="Mouse 12" sheetId="13" ns1:id="R341d75f55bb84a38"/>
  </sheets>
  <definedNames>
    <definedName name="_xlnm.Print_Area" localSheetId="0">'Cohort'!$A$1:$J$24</definedName>
    <definedName name="_xlnm.Print_Area" localSheetId="1">'Mouse 01'!$A$1:$H$38</definedName>
    <definedName name="_xlnm.Print_Area" localSheetId="2">'Mouse 02'!$A$1:$H$38</definedName>
    <definedName name="_xlnm.Print_Area" localSheetId="3">'Mouse 03'!$A$1:$H$38</definedName>
    <definedName name="_xlnm.Print_Area" localSheetId="4">'Mouse 04'!$A$1:$H$38</definedName>
    <definedName name="_xlnm.Print_Area" localSheetId="5">'Mouse 05'!$A$1:$H$38</definedName>
    <definedName name="_xlnm.Print_Area" localSheetId="6">'Mouse 06'!$A$1:$H$38</definedName>
    <definedName name="_xlnm.Print_Area" localSheetId="7">'Mouse 07'!$A$1:$H$38</definedName>
    <definedName name="_xlnm.Print_Area" localSheetId="8">'Mouse 08'!$A$1:$H$38</definedName>
    <definedName name="_xlnm.Print_Area" localSheetId="9">'Mouse 09'!$A$1:$H$38</definedName>
    <definedName name="_xlnm.Print_Area" localSheetId="10">'Mouse 10'!$A$1:$H$38</definedName>
    <definedName name="_xlnm.Print_Area" localSheetId="11">'Mouse 11'!$A$1:$H$38</definedName>
    <definedName name="_xlnm.Print_Area" localSheetId="12">'Mouse 12'!$A$1:$H$38</definedName>
  </definedNames>
  <calcPr fullCalcOnLoad="1" forceFullCalc="1" calcMode="auto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6">
    <x:font>
      <x:sz val="11"/>
      <x:name val="Carlito"/>
    </x:font>
    <x:font>
      <x:sz val="11"/>
      <x:color rgb="FF202D3D"/>
      <x:name val="Arial"/>
    </x:font>
    <x:font>
      <x:sz val="16"/>
      <x:color rgb="FF202D3D"/>
      <x:name val="Arial"/>
    </x:font>
    <x:font>
      <x:sz val="10"/>
      <x:color rgb="FF202D3D"/>
      <x:name val="Arial"/>
    </x:font>
    <x:font>
      <x:b/>
      <x:sz val="11"/>
      <x:color rgb="FFFFFFFF"/>
      <x:name val="Arial"/>
    </x:font>
    <x:font>
      <x:b/>
      <x:sz val="11"/>
      <x:color rgb="FF202D3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FF8E7"/>
      </x:patternFill>
    </x:fill>
    <x:fill>
      <x:patternFill patternType="solid">
        <x:fgColor rgb="FFE8EEF5"/>
      </x:patternFill>
    </x:fill>
  </x:fills>
  <x:borders count="3">
    <x:border/>
    <x:border>
      <x:bottom style="thin">
        <x:color rgb="FFDFE5ED"/>
      </x:bottom>
    </x:border>
    <x:border>
      <x:bottom style="thin">
        <x:color rgb="FFC8D2D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e173c6ea946f7" /><Relationship Type="http://schemas.openxmlformats.org/officeDocument/2006/relationships/theme" Target="/xl/theme/theme1.xml" Id="Rbf651f73bbe64183" /><Relationship Type="http://schemas.openxmlformats.org/officeDocument/2006/relationships/sharedStrings" Target="/xl/sharedStrings.xml" Id="Ra05ca070b8f1444b" /><Relationship Type="http://schemas.openxmlformats.org/officeDocument/2006/relationships/worksheet" Target="/xl/worksheets/sheet1.xml" Id="R5a55a2aa2ebe4863" /><Relationship Type="http://schemas.openxmlformats.org/officeDocument/2006/relationships/worksheet" Target="/xl/worksheets/sheet2.xml" Id="R548f2f2762884c8e" /><Relationship Type="http://schemas.openxmlformats.org/officeDocument/2006/relationships/worksheet" Target="/xl/worksheets/sheet3.xml" Id="R093a013188d64f45" /><Relationship Type="http://schemas.openxmlformats.org/officeDocument/2006/relationships/worksheet" Target="/xl/worksheets/sheet4.xml" Id="Rb3ad7d865144432d" /><Relationship Type="http://schemas.openxmlformats.org/officeDocument/2006/relationships/worksheet" Target="/xl/worksheets/sheet5.xml" Id="R1d80240bdb3f4cde" /><Relationship Type="http://schemas.openxmlformats.org/officeDocument/2006/relationships/worksheet" Target="/xl/worksheets/sheet6.xml" Id="Rddd0dc785dbd4974" /><Relationship Type="http://schemas.openxmlformats.org/officeDocument/2006/relationships/worksheet" Target="/xl/worksheets/sheet7.xml" Id="R0edc75eb5c404962" /><Relationship Type="http://schemas.openxmlformats.org/officeDocument/2006/relationships/worksheet" Target="/xl/worksheets/sheet8.xml" Id="Rb9add0ad2f98402d" /><Relationship Type="http://schemas.openxmlformats.org/officeDocument/2006/relationships/worksheet" Target="/xl/worksheets/sheet9.xml" Id="Rb97ed8b071a548b6" /><Relationship Type="http://schemas.openxmlformats.org/officeDocument/2006/relationships/worksheet" Target="/xl/worksheets/sheet10.xml" Id="R5bf26aef1e924aaa" /><Relationship Type="http://schemas.openxmlformats.org/officeDocument/2006/relationships/worksheet" Target="/xl/worksheets/sheet11.xml" Id="R53634f6106c1448e" /><Relationship Type="http://schemas.openxmlformats.org/officeDocument/2006/relationships/worksheet" Target="/xl/worksheets/sheet12.xml" Id="Rb8a0e9fbf9604175" /><Relationship Type="http://schemas.openxmlformats.org/officeDocument/2006/relationships/worksheet" Target="/xl/worksheets/sheet13.xml" Id="R341d75f55bb84a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8" hidden="0" customWidth="1"/>
    <col min="10" max="10" width="1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8" customHeight="1">
      <c r="A2" s="3" t="str">
        <v>VAME seizure pilot — cohort log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>
      <c r="A3" s="2" t="str">
        <v>Target: 6 KA + 6 saline. Bottom view only. Defaults: baseline 25 min; post-return 120 min.</v>
      </c>
      <c r="B3" s="2"/>
      <c r="C3" s="2"/>
      <c r="D3" s="2"/>
      <c r="E3" s="2"/>
      <c r="F3" s="2"/>
      <c r="G3" s="2"/>
      <c r="H3" s="2"/>
      <c r="I3" s="2"/>
      <c r="J3" s="2"/>
    </row>
    <row r="4" ht="18" customHeight="1">
      <c r="A4" s="2" t="str">
        <v>KA mg/mL</v>
      </c>
      <c r="B4" s="4" t="n">
        <v>2</v>
      </c>
      <c r="C4" s="2" t="str">
        <v>KA mg/kg</v>
      </c>
      <c r="D4" s="4" t="n">
        <v>25</v>
      </c>
      <c r="E4" s="2" t="str">
        <v>Saline volume matches KA volume per body weight.</v>
      </c>
      <c r="F4" s="2"/>
      <c r="G4" s="2"/>
      <c r="H4" s="2"/>
      <c r="I4" s="2"/>
      <c r="J4" s="2"/>
    </row>
    <row r="5" ht="18" customHeight="1">
      <c r="A5" s="5" t="str">
        <v>Source: user-confirmed parameters, 2026-09-21. Blank rows are unassigned mice, not actual animals.</v>
      </c>
      <c r="B5" s="5"/>
      <c r="C5" s="5"/>
      <c r="D5" s="5"/>
      <c r="E5" s="5"/>
      <c r="F5" s="5"/>
      <c r="G5" s="5"/>
      <c r="H5" s="5"/>
      <c r="I5" s="5"/>
      <c r="J5" s="5"/>
    </row>
    <row r="6" ht="18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32" customHeight="1">
      <c r="A7" s="8" t="str">
        <v>Mouse ID</v>
      </c>
      <c r="B7" s="8" t="str">
        <v>Sex</v>
      </c>
      <c r="C7" s="8" t="str">
        <v>Cage</v>
      </c>
      <c r="D7" s="8" t="str">
        <v>Group</v>
      </c>
      <c r="E7" s="8" t="str">
        <v>Weight (g)</v>
      </c>
      <c r="F7" s="8" t="str">
        <v>Calc. vol (mL)</v>
      </c>
      <c r="G7" s="8" t="str">
        <v>Actual vol (mL)</v>
      </c>
      <c r="H7" s="8" t="str">
        <v>Date</v>
      </c>
      <c r="I7" s="8" t="str">
        <v>Operator</v>
      </c>
      <c r="J7" s="8" t="str">
        <v>Session status</v>
      </c>
    </row>
    <row r="8" ht="18" customHeight="1">
      <c r="A8" s="13"/>
      <c r="B8" s="13"/>
      <c r="C8" s="13"/>
      <c r="D8" s="13"/>
      <c r="E8" s="14"/>
      <c r="F8" s="15" t="str">
        <f>IF(E8="","",IF(E8&gt;0,E8/1000*$D$4/$B$4,"Invalid weight"))</f>
      </c>
      <c r="G8" s="16"/>
      <c r="H8" s="13"/>
      <c r="I8" s="13"/>
      <c r="J8" s="13"/>
    </row>
    <row r="9" ht="18" customHeight="1">
      <c r="A9" s="13"/>
      <c r="B9" s="13"/>
      <c r="C9" s="13"/>
      <c r="D9" s="13"/>
      <c r="E9" s="14"/>
      <c r="F9" s="15" t="str">
        <f>IF(E9="","",IF(E9&gt;0,E9/1000*$D$4/$B$4,"Invalid weight"))</f>
      </c>
      <c r="G9" s="16"/>
      <c r="H9" s="13"/>
      <c r="I9" s="13"/>
      <c r="J9" s="13"/>
    </row>
    <row r="10" ht="18" customHeight="1">
      <c r="A10" s="13"/>
      <c r="B10" s="13"/>
      <c r="C10" s="13"/>
      <c r="D10" s="13"/>
      <c r="E10" s="14"/>
      <c r="F10" s="15" t="str">
        <f>IF(E10="","",IF(E10&gt;0,E10/1000*$D$4/$B$4,"Invalid weight"))</f>
      </c>
      <c r="G10" s="16"/>
      <c r="H10" s="13"/>
      <c r="I10" s="13"/>
      <c r="J10" s="13"/>
    </row>
    <row r="11" ht="18" customHeight="1">
      <c r="A11" s="13"/>
      <c r="B11" s="13"/>
      <c r="C11" s="13"/>
      <c r="D11" s="13"/>
      <c r="E11" s="14"/>
      <c r="F11" s="15" t="str">
        <f>IF(E11="","",IF(E11&gt;0,E11/1000*$D$4/$B$4,"Invalid weight"))</f>
      </c>
      <c r="G11" s="16"/>
      <c r="H11" s="13"/>
      <c r="I11" s="13"/>
      <c r="J11" s="13"/>
    </row>
    <row r="12" ht="18" customHeight="1">
      <c r="A12" s="13"/>
      <c r="B12" s="13"/>
      <c r="C12" s="13"/>
      <c r="D12" s="13"/>
      <c r="E12" s="14"/>
      <c r="F12" s="15" t="str">
        <f>IF(E12="","",IF(E12&gt;0,E12/1000*$D$4/$B$4,"Invalid weight"))</f>
      </c>
      <c r="G12" s="16"/>
      <c r="H12" s="13"/>
      <c r="I12" s="13"/>
      <c r="J12" s="13"/>
    </row>
    <row r="13" ht="18" customHeight="1">
      <c r="A13" s="13"/>
      <c r="B13" s="13"/>
      <c r="C13" s="13"/>
      <c r="D13" s="13"/>
      <c r="E13" s="14"/>
      <c r="F13" s="15" t="str">
        <f>IF(E13="","",IF(E13&gt;0,E13/1000*$D$4/$B$4,"Invalid weight"))</f>
      </c>
      <c r="G13" s="16"/>
      <c r="H13" s="13"/>
      <c r="I13" s="13"/>
      <c r="J13" s="13"/>
    </row>
    <row r="14" ht="18" customHeight="1">
      <c r="A14" s="13"/>
      <c r="B14" s="13"/>
      <c r="C14" s="13"/>
      <c r="D14" s="13"/>
      <c r="E14" s="14"/>
      <c r="F14" s="15" t="str">
        <f>IF(E14="","",IF(E14&gt;0,E14/1000*$D$4/$B$4,"Invalid weight"))</f>
      </c>
      <c r="G14" s="16"/>
      <c r="H14" s="13"/>
      <c r="I14" s="13"/>
      <c r="J14" s="13"/>
    </row>
    <row r="15" ht="18" customHeight="1">
      <c r="A15" s="13"/>
      <c r="B15" s="13"/>
      <c r="C15" s="13"/>
      <c r="D15" s="13"/>
      <c r="E15" s="14"/>
      <c r="F15" s="15" t="str">
        <f>IF(E15="","",IF(E15&gt;0,E15/1000*$D$4/$B$4,"Invalid weight"))</f>
      </c>
      <c r="G15" s="16"/>
      <c r="H15" s="13"/>
      <c r="I15" s="13"/>
      <c r="J15" s="13"/>
    </row>
    <row r="16" ht="18" customHeight="1">
      <c r="A16" s="13"/>
      <c r="B16" s="13"/>
      <c r="C16" s="13"/>
      <c r="D16" s="13"/>
      <c r="E16" s="14"/>
      <c r="F16" s="15" t="str">
        <f>IF(E16="","",IF(E16&gt;0,E16/1000*$D$4/$B$4,"Invalid weight"))</f>
      </c>
      <c r="G16" s="16"/>
      <c r="H16" s="13"/>
      <c r="I16" s="13"/>
      <c r="J16" s="13"/>
    </row>
    <row r="17" ht="18" customHeight="1">
      <c r="A17" s="13"/>
      <c r="B17" s="13"/>
      <c r="C17" s="13"/>
      <c r="D17" s="13"/>
      <c r="E17" s="14"/>
      <c r="F17" s="15" t="str">
        <f>IF(E17="","",IF(E17&gt;0,E17/1000*$D$4/$B$4,"Invalid weight"))</f>
      </c>
      <c r="G17" s="16"/>
      <c r="H17" s="13"/>
      <c r="I17" s="13"/>
      <c r="J17" s="13"/>
    </row>
    <row r="18" ht="18" customHeight="1">
      <c r="A18" s="13"/>
      <c r="B18" s="13"/>
      <c r="C18" s="13"/>
      <c r="D18" s="13"/>
      <c r="E18" s="14"/>
      <c r="F18" s="15" t="str">
        <f>IF(E18="","",IF(E18&gt;0,E18/1000*$D$4/$B$4,"Invalid weight"))</f>
      </c>
      <c r="G18" s="16"/>
      <c r="H18" s="13"/>
      <c r="I18" s="13"/>
      <c r="J18" s="13"/>
    </row>
    <row r="19" ht="18" customHeight="1">
      <c r="A19" s="13"/>
      <c r="B19" s="13"/>
      <c r="C19" s="13"/>
      <c r="D19" s="13"/>
      <c r="E19" s="14"/>
      <c r="F19" s="15" t="str">
        <f>IF(E19="","",IF(E19&gt;0,E19/1000*$D$4/$B$4,"Invalid weight"))</f>
      </c>
      <c r="G19" s="16"/>
      <c r="H19" s="13"/>
      <c r="I19" s="13"/>
      <c r="J19" s="13"/>
    </row>
    <row r="20" ht="18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8" customHeight="1">
      <c r="A21" s="2" t="str">
        <v>Yellow cells: enter known information. Computed volume is separate from actual administered volume.</v>
      </c>
      <c r="B21" s="2"/>
      <c r="C21" s="2"/>
      <c r="D21" s="2"/>
      <c r="E21" s="2"/>
      <c r="F21" s="2"/>
      <c r="G21" s="2"/>
      <c r="H21" s="2"/>
      <c r="I21" s="2"/>
      <c r="J21" s="2"/>
    </row>
    <row r="22" ht="18" customHeight="1">
      <c r="A22" s="2" t="str">
        <v>Print each Mouse sheet on one page. Record injection and return/start times separately.</v>
      </c>
      <c r="B22" s="2"/>
      <c r="C22" s="2"/>
      <c r="D22" s="2"/>
      <c r="E22" s="2"/>
      <c r="F22" s="2"/>
      <c r="G22" s="2"/>
      <c r="H22" s="2"/>
      <c r="I22" s="2"/>
      <c r="J22" s="2"/>
    </row>
    <row r="23" ht="18" customHeight="1">
      <c r="A23" s="2" t="str">
        <v>Do not sort the cohort rows independently: printed mouse pages refer to their corresponding row.</v>
      </c>
      <c r="B23" s="2"/>
      <c r="C23" s="2"/>
      <c r="D23" s="2"/>
      <c r="E23" s="2"/>
      <c r="F23" s="2"/>
      <c r="G23" s="2"/>
      <c r="H23" s="2"/>
      <c r="I23" s="2"/>
      <c r="J23" s="2"/>
    </row>
    <row r="24" ht="18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mergeCells>
    <mergeCell ref="A2:J2"/>
    <mergeCell ref="A3:J3"/>
    <mergeCell ref="E4:J4"/>
    <mergeCell ref="A5:J5"/>
    <mergeCell ref="A21:J21"/>
    <mergeCell ref="A22:J22"/>
    <mergeCell ref="A23:J23"/>
  </mergeCells>
  <dataValidations count="3">
    <dataValidation type="list" sqref="B8:B19">
      <formula1>"F,M,Unknown"</formula1>
    </dataValidation>
    <dataValidation type="list" sqref="D8:D19">
      <formula1>"KA,Saline"</formula1>
    </dataValidation>
    <dataValidation type="decimal" operator="greaterThan" sqref="E8:E19">
      <formula1>0</formula1>
    </dataValidation>
  </dataValidations>
  <pageMargins left=".25" right=".25" top=".3" bottom=".3" header=".1" footer=".1"/>
  <pageSetup paperSize="1" orientation="landscape" fitToWidth="1" fitToHeight="1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01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IF(Cohort!A8="","",Cohort!A8)</f>
      </c>
      <c r="C5" s="17"/>
      <c r="D5" s="17"/>
      <c r="E5" s="2" t="str">
        <v>Group</v>
      </c>
      <c r="F5" s="17" t="str">
        <f>IF(Cohort!D8="","",Cohort!D8)</f>
      </c>
      <c r="G5" s="17"/>
      <c r="H5" s="17"/>
    </row>
    <row r="6" ht="18" customHeight="1">
      <c r="A6" s="2" t="str">
        <v>Sex</v>
      </c>
      <c r="B6" s="17" t="str">
        <f>IF(Cohort!B8="","",Cohort!B8)</f>
      </c>
      <c r="C6" s="17"/>
      <c r="D6" s="17"/>
      <c r="E6" s="2" t="str">
        <v>Cage</v>
      </c>
      <c r="F6" s="17" t="str">
        <f>IF(Cohort!C8="","",Cohort!C8)</f>
      </c>
      <c r="G6" s="17"/>
      <c r="H6" s="17"/>
    </row>
    <row r="7" ht="18" customHeight="1">
      <c r="A7" s="2" t="str">
        <v>Weight (g)</v>
      </c>
      <c r="B7" s="18" t="str">
        <f>IF(Cohort!E8="","",Cohort!E8)</f>
      </c>
      <c r="C7" s="17"/>
      <c r="D7" s="17"/>
      <c r="E7" s="2" t="str">
        <v>Date</v>
      </c>
      <c r="F7" s="17" t="str">
        <f>IF(Cohort!H8="","",Cohort!H8)</f>
      </c>
      <c r="G7" s="17"/>
      <c r="H7" s="17"/>
    </row>
    <row r="8" ht="18" customHeight="1">
      <c r="A8" s="2" t="str">
        <v>Calculated mL</v>
      </c>
      <c r="B8" s="15" t="str">
        <f>IF(Cohort!F8="","",Cohort!F8)</f>
      </c>
      <c r="C8" s="17"/>
      <c r="D8" s="17"/>
      <c r="E8" s="2" t="str">
        <v>Actual mL</v>
      </c>
      <c r="F8" s="15" t="str">
        <f>IF(Cohort!G8="","",Cohort!G8)</f>
      </c>
      <c r="G8" s="17"/>
      <c r="H8" s="17"/>
    </row>
    <row r="9" ht="18" customHeight="1">
      <c r="A9" s="2" t="str">
        <v>Operator</v>
      </c>
      <c r="B9" s="17" t="str">
        <f>IF(Cohort!I8="","",Cohort!I8)</f>
      </c>
      <c r="C9" s="17"/>
      <c r="D9" s="17"/>
      <c r="E9" s="2" t="str">
        <v>Session status</v>
      </c>
      <c r="F9" s="17" t="str">
        <f>IF(Cohort!J8="","",Cohort!J8)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02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IF(Cohort!A9="","",Cohort!A9)</f>
      </c>
      <c r="C5" s="17"/>
      <c r="D5" s="17"/>
      <c r="E5" s="2" t="str">
        <v>Group</v>
      </c>
      <c r="F5" s="17" t="str">
        <f>IF(Cohort!D9="","",Cohort!D9)</f>
      </c>
      <c r="G5" s="17"/>
      <c r="H5" s="17"/>
    </row>
    <row r="6" ht="18" customHeight="1">
      <c r="A6" s="2" t="str">
        <v>Sex</v>
      </c>
      <c r="B6" s="17" t="str">
        <f>IF(Cohort!B9="","",Cohort!B9)</f>
      </c>
      <c r="C6" s="17"/>
      <c r="D6" s="17"/>
      <c r="E6" s="2" t="str">
        <v>Cage</v>
      </c>
      <c r="F6" s="17" t="str">
        <f>IF(Cohort!C9="","",Cohort!C9)</f>
      </c>
      <c r="G6" s="17"/>
      <c r="H6" s="17"/>
    </row>
    <row r="7" ht="18" customHeight="1">
      <c r="A7" s="2" t="str">
        <v>Weight (g)</v>
      </c>
      <c r="B7" s="18" t="str">
        <f>IF(Cohort!E9="","",Cohort!E9)</f>
      </c>
      <c r="C7" s="17"/>
      <c r="D7" s="17"/>
      <c r="E7" s="2" t="str">
        <v>Date</v>
      </c>
      <c r="F7" s="17" t="str">
        <f>IF(Cohort!H9="","",Cohort!H9)</f>
      </c>
      <c r="G7" s="17"/>
      <c r="H7" s="17"/>
    </row>
    <row r="8" ht="18" customHeight="1">
      <c r="A8" s="2" t="str">
        <v>Calculated mL</v>
      </c>
      <c r="B8" s="15" t="str">
        <f>IF(Cohort!F9="","",Cohort!F9)</f>
      </c>
      <c r="C8" s="17"/>
      <c r="D8" s="17"/>
      <c r="E8" s="2" t="str">
        <v>Actual mL</v>
      </c>
      <c r="F8" s="15" t="str">
        <f>IF(Cohort!G9="","",Cohort!G9)</f>
      </c>
      <c r="G8" s="17"/>
      <c r="H8" s="17"/>
    </row>
    <row r="9" ht="18" customHeight="1">
      <c r="A9" s="2" t="str">
        <v>Operator</v>
      </c>
      <c r="B9" s="17" t="str">
        <f>IF(Cohort!I9="","",Cohort!I9)</f>
      </c>
      <c r="C9" s="17"/>
      <c r="D9" s="17"/>
      <c r="E9" s="2" t="str">
        <v>Session status</v>
      </c>
      <c r="F9" s="17" t="str">
        <f>IF(Cohort!J9="","",Cohort!J9)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03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IF(Cohort!A10="","",Cohort!A10)</f>
      </c>
      <c r="C5" s="17"/>
      <c r="D5" s="17"/>
      <c r="E5" s="2" t="str">
        <v>Group</v>
      </c>
      <c r="F5" s="17" t="str">
        <f>IF(Cohort!D10="","",Cohort!D10)</f>
      </c>
      <c r="G5" s="17"/>
      <c r="H5" s="17"/>
    </row>
    <row r="6" ht="18" customHeight="1">
      <c r="A6" s="2" t="str">
        <v>Sex</v>
      </c>
      <c r="B6" s="17" t="str">
        <f>IF(Cohort!B10="","",Cohort!B10)</f>
      </c>
      <c r="C6" s="17"/>
      <c r="D6" s="17"/>
      <c r="E6" s="2" t="str">
        <v>Cage</v>
      </c>
      <c r="F6" s="17" t="str">
        <f>IF(Cohort!C10="","",Cohort!C10)</f>
      </c>
      <c r="G6" s="17"/>
      <c r="H6" s="17"/>
    </row>
    <row r="7" ht="18" customHeight="1">
      <c r="A7" s="2" t="str">
        <v>Weight (g)</v>
      </c>
      <c r="B7" s="18" t="str">
        <f>IF(Cohort!E10="","",Cohort!E10)</f>
      </c>
      <c r="C7" s="17"/>
      <c r="D7" s="17"/>
      <c r="E7" s="2" t="str">
        <v>Date</v>
      </c>
      <c r="F7" s="17" t="str">
        <f>IF(Cohort!H10="","",Cohort!H10)</f>
      </c>
      <c r="G7" s="17"/>
      <c r="H7" s="17"/>
    </row>
    <row r="8" ht="18" customHeight="1">
      <c r="A8" s="2" t="str">
        <v>Calculated mL</v>
      </c>
      <c r="B8" s="15" t="str">
        <f>IF(Cohort!F10="","",Cohort!F10)</f>
      </c>
      <c r="C8" s="17"/>
      <c r="D8" s="17"/>
      <c r="E8" s="2" t="str">
        <v>Actual mL</v>
      </c>
      <c r="F8" s="15" t="str">
        <f>IF(Cohort!G10="","",Cohort!G10)</f>
      </c>
      <c r="G8" s="17"/>
      <c r="H8" s="17"/>
    </row>
    <row r="9" ht="18" customHeight="1">
      <c r="A9" s="2" t="str">
        <v>Operator</v>
      </c>
      <c r="B9" s="17" t="str">
        <f>IF(Cohort!I10="","",Cohort!I10)</f>
      </c>
      <c r="C9" s="17"/>
      <c r="D9" s="17"/>
      <c r="E9" s="2" t="str">
        <v>Session status</v>
      </c>
      <c r="F9" s="17" t="str">
        <f>IF(Cohort!J10="","",Cohort!J10)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04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IF(Cohort!A11="","",Cohort!A11)</f>
      </c>
      <c r="C5" s="17"/>
      <c r="D5" s="17"/>
      <c r="E5" s="2" t="str">
        <v>Group</v>
      </c>
      <c r="F5" s="17" t="str">
        <f>IF(Cohort!D11="","",Cohort!D11)</f>
      </c>
      <c r="G5" s="17"/>
      <c r="H5" s="17"/>
    </row>
    <row r="6" ht="18" customHeight="1">
      <c r="A6" s="2" t="str">
        <v>Sex</v>
      </c>
      <c r="B6" s="17" t="str">
        <f>IF(Cohort!B11="","",Cohort!B11)</f>
      </c>
      <c r="C6" s="17"/>
      <c r="D6" s="17"/>
      <c r="E6" s="2" t="str">
        <v>Cage</v>
      </c>
      <c r="F6" s="17" t="str">
        <f>IF(Cohort!C11="","",Cohort!C11)</f>
      </c>
      <c r="G6" s="17"/>
      <c r="H6" s="17"/>
    </row>
    <row r="7" ht="18" customHeight="1">
      <c r="A7" s="2" t="str">
        <v>Weight (g)</v>
      </c>
      <c r="B7" s="18" t="str">
        <f>IF(Cohort!E11="","",Cohort!E11)</f>
      </c>
      <c r="C7" s="17"/>
      <c r="D7" s="17"/>
      <c r="E7" s="2" t="str">
        <v>Date</v>
      </c>
      <c r="F7" s="17" t="str">
        <f>IF(Cohort!H11="","",Cohort!H11)</f>
      </c>
      <c r="G7" s="17"/>
      <c r="H7" s="17"/>
    </row>
    <row r="8" ht="18" customHeight="1">
      <c r="A8" s="2" t="str">
        <v>Calculated mL</v>
      </c>
      <c r="B8" s="15" t="str">
        <f>IF(Cohort!F11="","",Cohort!F11)</f>
      </c>
      <c r="C8" s="17"/>
      <c r="D8" s="17"/>
      <c r="E8" s="2" t="str">
        <v>Actual mL</v>
      </c>
      <c r="F8" s="15" t="str">
        <f>IF(Cohort!G11="","",Cohort!G11)</f>
      </c>
      <c r="G8" s="17"/>
      <c r="H8" s="17"/>
    </row>
    <row r="9" ht="18" customHeight="1">
      <c r="A9" s="2" t="str">
        <v>Operator</v>
      </c>
      <c r="B9" s="17" t="str">
        <f>IF(Cohort!I11="","",Cohort!I11)</f>
      </c>
      <c r="C9" s="17"/>
      <c r="D9" s="17"/>
      <c r="E9" s="2" t="str">
        <v>Session status</v>
      </c>
      <c r="F9" s="17" t="str">
        <f>IF(Cohort!J11="","",Cohort!J11)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05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IF(Cohort!A12="","",Cohort!A12)</f>
      </c>
      <c r="C5" s="17"/>
      <c r="D5" s="17"/>
      <c r="E5" s="2" t="str">
        <v>Group</v>
      </c>
      <c r="F5" s="17" t="str">
        <f>IF(Cohort!D12="","",Cohort!D12)</f>
      </c>
      <c r="G5" s="17"/>
      <c r="H5" s="17"/>
    </row>
    <row r="6" ht="18" customHeight="1">
      <c r="A6" s="2" t="str">
        <v>Sex</v>
      </c>
      <c r="B6" s="17" t="str">
        <f>IF(Cohort!B12="","",Cohort!B12)</f>
      </c>
      <c r="C6" s="17"/>
      <c r="D6" s="17"/>
      <c r="E6" s="2" t="str">
        <v>Cage</v>
      </c>
      <c r="F6" s="17" t="str">
        <f>IF(Cohort!C12="","",Cohort!C12)</f>
      </c>
      <c r="G6" s="17"/>
      <c r="H6" s="17"/>
    </row>
    <row r="7" ht="18" customHeight="1">
      <c r="A7" s="2" t="str">
        <v>Weight (g)</v>
      </c>
      <c r="B7" s="18" t="str">
        <f>IF(Cohort!E12="","",Cohort!E12)</f>
      </c>
      <c r="C7" s="17"/>
      <c r="D7" s="17"/>
      <c r="E7" s="2" t="str">
        <v>Date</v>
      </c>
      <c r="F7" s="17" t="str">
        <f>IF(Cohort!H12="","",Cohort!H12)</f>
      </c>
      <c r="G7" s="17"/>
      <c r="H7" s="17"/>
    </row>
    <row r="8" ht="18" customHeight="1">
      <c r="A8" s="2" t="str">
        <v>Calculated mL</v>
      </c>
      <c r="B8" s="15" t="str">
        <f>IF(Cohort!F12="","",Cohort!F12)</f>
      </c>
      <c r="C8" s="17"/>
      <c r="D8" s="17"/>
      <c r="E8" s="2" t="str">
        <v>Actual mL</v>
      </c>
      <c r="F8" s="15" t="str">
        <f>IF(Cohort!G12="","",Cohort!G12)</f>
      </c>
      <c r="G8" s="17"/>
      <c r="H8" s="17"/>
    </row>
    <row r="9" ht="18" customHeight="1">
      <c r="A9" s="2" t="str">
        <v>Operator</v>
      </c>
      <c r="B9" s="17" t="str">
        <f>IF(Cohort!I12="","",Cohort!I12)</f>
      </c>
      <c r="C9" s="17"/>
      <c r="D9" s="17"/>
      <c r="E9" s="2" t="str">
        <v>Session status</v>
      </c>
      <c r="F9" s="17" t="str">
        <f>IF(Cohort!J12="","",Cohort!J12)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7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06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IF(Cohort!A13="","",Cohort!A13)</f>
      </c>
      <c r="C5" s="17"/>
      <c r="D5" s="17"/>
      <c r="E5" s="2" t="str">
        <v>Group</v>
      </c>
      <c r="F5" s="17" t="str">
        <f>IF(Cohort!D13="","",Cohort!D13)</f>
      </c>
      <c r="G5" s="17"/>
      <c r="H5" s="17"/>
    </row>
    <row r="6" ht="18" customHeight="1">
      <c r="A6" s="2" t="str">
        <v>Sex</v>
      </c>
      <c r="B6" s="17" t="str">
        <f>IF(Cohort!B13="","",Cohort!B13)</f>
      </c>
      <c r="C6" s="17"/>
      <c r="D6" s="17"/>
      <c r="E6" s="2" t="str">
        <v>Cage</v>
      </c>
      <c r="F6" s="17" t="str">
        <f>IF(Cohort!C13="","",Cohort!C13)</f>
      </c>
      <c r="G6" s="17"/>
      <c r="H6" s="17"/>
    </row>
    <row r="7" ht="18" customHeight="1">
      <c r="A7" s="2" t="str">
        <v>Weight (g)</v>
      </c>
      <c r="B7" s="18" t="str">
        <f>IF(Cohort!E13="","",Cohort!E13)</f>
      </c>
      <c r="C7" s="17"/>
      <c r="D7" s="17"/>
      <c r="E7" s="2" t="str">
        <v>Date</v>
      </c>
      <c r="F7" s="17" t="str">
        <f>IF(Cohort!H13="","",Cohort!H13)</f>
      </c>
      <c r="G7" s="17"/>
      <c r="H7" s="17"/>
    </row>
    <row r="8" ht="18" customHeight="1">
      <c r="A8" s="2" t="str">
        <v>Calculated mL</v>
      </c>
      <c r="B8" s="15" t="str">
        <f>IF(Cohort!F13="","",Cohort!F13)</f>
      </c>
      <c r="C8" s="17"/>
      <c r="D8" s="17"/>
      <c r="E8" s="2" t="str">
        <v>Actual mL</v>
      </c>
      <c r="F8" s="15" t="str">
        <f>IF(Cohort!G13="","",Cohort!G13)</f>
      </c>
      <c r="G8" s="17"/>
      <c r="H8" s="17"/>
    </row>
    <row r="9" ht="18" customHeight="1">
      <c r="A9" s="2" t="str">
        <v>Operator</v>
      </c>
      <c r="B9" s="17" t="str">
        <f>IF(Cohort!I13="","",Cohort!I13)</f>
      </c>
      <c r="C9" s="17"/>
      <c r="D9" s="17"/>
      <c r="E9" s="2" t="str">
        <v>Session status</v>
      </c>
      <c r="F9" s="17" t="str">
        <f>IF(Cohort!J13="","",Cohort!J13)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8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07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IF(Cohort!A14="","",Cohort!A14)</f>
      </c>
      <c r="C5" s="17"/>
      <c r="D5" s="17"/>
      <c r="E5" s="2" t="str">
        <v>Group</v>
      </c>
      <c r="F5" s="17" t="str">
        <f>IF(Cohort!D14="","",Cohort!D14)</f>
      </c>
      <c r="G5" s="17"/>
      <c r="H5" s="17"/>
    </row>
    <row r="6" ht="18" customHeight="1">
      <c r="A6" s="2" t="str">
        <v>Sex</v>
      </c>
      <c r="B6" s="17" t="str">
        <f>IF(Cohort!B14="","",Cohort!B14)</f>
      </c>
      <c r="C6" s="17"/>
      <c r="D6" s="17"/>
      <c r="E6" s="2" t="str">
        <v>Cage</v>
      </c>
      <c r="F6" s="17" t="str">
        <f>IF(Cohort!C14="","",Cohort!C14)</f>
      </c>
      <c r="G6" s="17"/>
      <c r="H6" s="17"/>
    </row>
    <row r="7" ht="18" customHeight="1">
      <c r="A7" s="2" t="str">
        <v>Weight (g)</v>
      </c>
      <c r="B7" s="18" t="str">
        <f>IF(Cohort!E14="","",Cohort!E14)</f>
      </c>
      <c r="C7" s="17"/>
      <c r="D7" s="17"/>
      <c r="E7" s="2" t="str">
        <v>Date</v>
      </c>
      <c r="F7" s="17" t="str">
        <f>IF(Cohort!H14="","",Cohort!H14)</f>
      </c>
      <c r="G7" s="17"/>
      <c r="H7" s="17"/>
    </row>
    <row r="8" ht="18" customHeight="1">
      <c r="A8" s="2" t="str">
        <v>Calculated mL</v>
      </c>
      <c r="B8" s="15" t="str">
        <f>IF(Cohort!F14="","",Cohort!F14)</f>
      </c>
      <c r="C8" s="17"/>
      <c r="D8" s="17"/>
      <c r="E8" s="2" t="str">
        <v>Actual mL</v>
      </c>
      <c r="F8" s="15" t="str">
        <f>IF(Cohort!G14="","",Cohort!G14)</f>
      </c>
      <c r="G8" s="17"/>
      <c r="H8" s="17"/>
    </row>
    <row r="9" ht="18" customHeight="1">
      <c r="A9" s="2" t="str">
        <v>Operator</v>
      </c>
      <c r="B9" s="17" t="str">
        <f>IF(Cohort!I14="","",Cohort!I14)</f>
      </c>
      <c r="C9" s="17"/>
      <c r="D9" s="17"/>
      <c r="E9" s="2" t="str">
        <v>Session status</v>
      </c>
      <c r="F9" s="17" t="str">
        <f>IF(Cohort!J14="","",Cohort!J14)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9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08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IF(Cohort!A15="","",Cohort!A15)</f>
      </c>
      <c r="C5" s="17"/>
      <c r="D5" s="17"/>
      <c r="E5" s="2" t="str">
        <v>Group</v>
      </c>
      <c r="F5" s="17" t="str">
        <f>IF(Cohort!D15="","",Cohort!D15)</f>
      </c>
      <c r="G5" s="17"/>
      <c r="H5" s="17"/>
    </row>
    <row r="6" ht="18" customHeight="1">
      <c r="A6" s="2" t="str">
        <v>Sex</v>
      </c>
      <c r="B6" s="17" t="str">
        <f>IF(Cohort!B15="","",Cohort!B15)</f>
      </c>
      <c r="C6" s="17"/>
      <c r="D6" s="17"/>
      <c r="E6" s="2" t="str">
        <v>Cage</v>
      </c>
      <c r="F6" s="17" t="str">
        <f>IF(Cohort!C15="","",Cohort!C15)</f>
      </c>
      <c r="G6" s="17"/>
      <c r="H6" s="17"/>
    </row>
    <row r="7" ht="18" customHeight="1">
      <c r="A7" s="2" t="str">
        <v>Weight (g)</v>
      </c>
      <c r="B7" s="18" t="str">
        <f>IF(Cohort!E15="","",Cohort!E15)</f>
      </c>
      <c r="C7" s="17"/>
      <c r="D7" s="17"/>
      <c r="E7" s="2" t="str">
        <v>Date</v>
      </c>
      <c r="F7" s="17" t="str">
        <f>IF(Cohort!H15="","",Cohort!H15)</f>
      </c>
      <c r="G7" s="17"/>
      <c r="H7" s="17"/>
    </row>
    <row r="8" ht="18" customHeight="1">
      <c r="A8" s="2" t="str">
        <v>Calculated mL</v>
      </c>
      <c r="B8" s="15" t="str">
        <f>IF(Cohort!F15="","",Cohort!F15)</f>
      </c>
      <c r="C8" s="17"/>
      <c r="D8" s="17"/>
      <c r="E8" s="2" t="str">
        <v>Actual mL</v>
      </c>
      <c r="F8" s="15" t="str">
        <f>IF(Cohort!G15="","",Cohort!G15)</f>
      </c>
      <c r="G8" s="17"/>
      <c r="H8" s="17"/>
    </row>
    <row r="9" ht="18" customHeight="1">
      <c r="A9" s="2" t="str">
        <v>Operator</v>
      </c>
      <c r="B9" s="17" t="str">
        <f>IF(Cohort!I15="","",Cohort!I15)</f>
      </c>
      <c r="C9" s="17"/>
      <c r="D9" s="17"/>
      <c r="E9" s="2" t="str">
        <v>Session status</v>
      </c>
      <c r="F9" s="17" t="str">
        <f>IF(Cohort!J15="","",Cohort!J15)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10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09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IF(Cohort!A16="","",Cohort!A16)</f>
      </c>
      <c r="C5" s="17"/>
      <c r="D5" s="17"/>
      <c r="E5" s="2" t="str">
        <v>Group</v>
      </c>
      <c r="F5" s="17" t="str">
        <f>IF(Cohort!D16="","",Cohort!D16)</f>
      </c>
      <c r="G5" s="17"/>
      <c r="H5" s="17"/>
    </row>
    <row r="6" ht="18" customHeight="1">
      <c r="A6" s="2" t="str">
        <v>Sex</v>
      </c>
      <c r="B6" s="17" t="str">
        <f>IF(Cohort!B16="","",Cohort!B16)</f>
      </c>
      <c r="C6" s="17"/>
      <c r="D6" s="17"/>
      <c r="E6" s="2" t="str">
        <v>Cage</v>
      </c>
      <c r="F6" s="17" t="str">
        <f>IF(Cohort!C16="","",Cohort!C16)</f>
      </c>
      <c r="G6" s="17"/>
      <c r="H6" s="17"/>
    </row>
    <row r="7" ht="18" customHeight="1">
      <c r="A7" s="2" t="str">
        <v>Weight (g)</v>
      </c>
      <c r="B7" s="18" t="str">
        <f>IF(Cohort!E16="","",Cohort!E16)</f>
      </c>
      <c r="C7" s="17"/>
      <c r="D7" s="17"/>
      <c r="E7" s="2" t="str">
        <v>Date</v>
      </c>
      <c r="F7" s="17" t="str">
        <f>IF(Cohort!H16="","",Cohort!H16)</f>
      </c>
      <c r="G7" s="17"/>
      <c r="H7" s="17"/>
    </row>
    <row r="8" ht="18" customHeight="1">
      <c r="A8" s="2" t="str">
        <v>Calculated mL</v>
      </c>
      <c r="B8" s="15" t="str">
        <f>IF(Cohort!F16="","",Cohort!F16)</f>
      </c>
      <c r="C8" s="17"/>
      <c r="D8" s="17"/>
      <c r="E8" s="2" t="str">
        <v>Actual mL</v>
      </c>
      <c r="F8" s="15" t="str">
        <f>IF(Cohort!G16="","",Cohort!G16)</f>
      </c>
      <c r="G8" s="17"/>
      <c r="H8" s="17"/>
    </row>
    <row r="9" ht="18" customHeight="1">
      <c r="A9" s="2" t="str">
        <v>Operator</v>
      </c>
      <c r="B9" s="17" t="str">
        <f>IF(Cohort!I16="","",Cohort!I16)</f>
      </c>
      <c r="C9" s="17"/>
      <c r="D9" s="17"/>
      <c r="E9" s="2" t="str">
        <v>Session status</v>
      </c>
      <c r="F9" s="17" t="str">
        <f>IF(Cohort!J16="","",Cohort!J16)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10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IF(Cohort!A17="","",Cohort!A17)</f>
      </c>
      <c r="C5" s="17"/>
      <c r="D5" s="17"/>
      <c r="E5" s="2" t="str">
        <v>Group</v>
      </c>
      <c r="F5" s="17" t="str">
        <f>IF(Cohort!D17="","",Cohort!D17)</f>
      </c>
      <c r="G5" s="17"/>
      <c r="H5" s="17"/>
    </row>
    <row r="6" ht="18" customHeight="1">
      <c r="A6" s="2" t="str">
        <v>Sex</v>
      </c>
      <c r="B6" s="17" t="str">
        <f>IF(Cohort!B17="","",Cohort!B17)</f>
      </c>
      <c r="C6" s="17"/>
      <c r="D6" s="17"/>
      <c r="E6" s="2" t="str">
        <v>Cage</v>
      </c>
      <c r="F6" s="17" t="str">
        <f>IF(Cohort!C17="","",Cohort!C17)</f>
      </c>
      <c r="G6" s="17"/>
      <c r="H6" s="17"/>
    </row>
    <row r="7" ht="18" customHeight="1">
      <c r="A7" s="2" t="str">
        <v>Weight (g)</v>
      </c>
      <c r="B7" s="18" t="str">
        <f>IF(Cohort!E17="","",Cohort!E17)</f>
      </c>
      <c r="C7" s="17"/>
      <c r="D7" s="17"/>
      <c r="E7" s="2" t="str">
        <v>Date</v>
      </c>
      <c r="F7" s="17" t="str">
        <f>IF(Cohort!H17="","",Cohort!H17)</f>
      </c>
      <c r="G7" s="17"/>
      <c r="H7" s="17"/>
    </row>
    <row r="8" ht="18" customHeight="1">
      <c r="A8" s="2" t="str">
        <v>Calculated mL</v>
      </c>
      <c r="B8" s="15" t="str">
        <f>IF(Cohort!F17="","",Cohort!F17)</f>
      </c>
      <c r="C8" s="17"/>
      <c r="D8" s="17"/>
      <c r="E8" s="2" t="str">
        <v>Actual mL</v>
      </c>
      <c r="F8" s="15" t="str">
        <f>IF(Cohort!G17="","",Cohort!G17)</f>
      </c>
      <c r="G8" s="17"/>
      <c r="H8" s="17"/>
    </row>
    <row r="9" ht="18" customHeight="1">
      <c r="A9" s="2" t="str">
        <v>Operator</v>
      </c>
      <c r="B9" s="17" t="str">
        <f>IF(Cohort!I17="","",Cohort!I17)</f>
      </c>
      <c r="C9" s="17"/>
      <c r="D9" s="17"/>
      <c r="E9" s="2" t="str">
        <v>Session status</v>
      </c>
      <c r="F9" s="17" t="str">
        <f>IF(Cohort!J17="","",Cohort!J17)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11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IF(Cohort!A18="","",Cohort!A18)</f>
      </c>
      <c r="C5" s="17"/>
      <c r="D5" s="17"/>
      <c r="E5" s="2" t="str">
        <v>Group</v>
      </c>
      <c r="F5" s="17" t="str">
        <f>IF(Cohort!D18="","",Cohort!D18)</f>
      </c>
      <c r="G5" s="17"/>
      <c r="H5" s="17"/>
    </row>
    <row r="6" ht="18" customHeight="1">
      <c r="A6" s="2" t="str">
        <v>Sex</v>
      </c>
      <c r="B6" s="17" t="str">
        <f>IF(Cohort!B18="","",Cohort!B18)</f>
      </c>
      <c r="C6" s="17"/>
      <c r="D6" s="17"/>
      <c r="E6" s="2" t="str">
        <v>Cage</v>
      </c>
      <c r="F6" s="17" t="str">
        <f>IF(Cohort!C18="","",Cohort!C18)</f>
      </c>
      <c r="G6" s="17"/>
      <c r="H6" s="17"/>
    </row>
    <row r="7" ht="18" customHeight="1">
      <c r="A7" s="2" t="str">
        <v>Weight (g)</v>
      </c>
      <c r="B7" s="18" t="str">
        <f>IF(Cohort!E18="","",Cohort!E18)</f>
      </c>
      <c r="C7" s="17"/>
      <c r="D7" s="17"/>
      <c r="E7" s="2" t="str">
        <v>Date</v>
      </c>
      <c r="F7" s="17" t="str">
        <f>IF(Cohort!H18="","",Cohort!H18)</f>
      </c>
      <c r="G7" s="17"/>
      <c r="H7" s="17"/>
    </row>
    <row r="8" ht="18" customHeight="1">
      <c r="A8" s="2" t="str">
        <v>Calculated mL</v>
      </c>
      <c r="B8" s="15" t="str">
        <f>IF(Cohort!F18="","",Cohort!F18)</f>
      </c>
      <c r="C8" s="17"/>
      <c r="D8" s="17"/>
      <c r="E8" s="2" t="str">
        <v>Actual mL</v>
      </c>
      <c r="F8" s="15" t="str">
        <f>IF(Cohort!G18="","",Cohort!G18)</f>
      </c>
      <c r="G8" s="17"/>
      <c r="H8" s="17"/>
    </row>
    <row r="9" ht="18" customHeight="1">
      <c r="A9" s="2" t="str">
        <v>Operator</v>
      </c>
      <c r="B9" s="17" t="str">
        <f>IF(Cohort!I18="","",Cohort!I18)</f>
      </c>
      <c r="C9" s="17"/>
      <c r="D9" s="17"/>
      <c r="E9" s="2" t="str">
        <v>Session status</v>
      </c>
      <c r="F9" s="17" t="str">
        <f>IF(Cohort!J18="","",Cohort!J18)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20" hidden="0" customWidth="1"/>
    <col min="2" max="2" width="12" hidden="0" customWidth="1"/>
    <col min="3" max="3" width="12" hidden="0" customWidth="1"/>
    <col min="4" max="4" width="8" hidden="0" customWidth="1"/>
    <col min="5" max="5" width="18" hidden="0" customWidth="1"/>
    <col min="6" max="6" width="12" hidden="0" customWidth="1"/>
    <col min="7" max="7" width="10" hidden="0" customWidth="1"/>
    <col min="8" max="8" width="8" hidden="0" customWidth="1"/>
  </cols>
  <sheetData>
    <row r="1" ht="18" customHeight="1">
      <c r="A1" s="2"/>
      <c r="B1" s="2"/>
      <c r="C1" s="2"/>
      <c r="D1" s="2"/>
      <c r="E1" s="2"/>
      <c r="F1" s="2"/>
      <c r="G1" s="2"/>
      <c r="H1" s="2"/>
    </row>
    <row r="2" ht="18" customHeight="1">
      <c r="A2" s="3" t="str">
        <v>VAME seizure pilot — mouse record 12</v>
      </c>
      <c r="B2" s="2"/>
      <c r="C2" s="2"/>
      <c r="D2" s="2"/>
      <c r="E2" s="2"/>
      <c r="F2" s="2"/>
      <c r="G2" s="2"/>
      <c r="H2" s="2"/>
    </row>
    <row r="3" ht="18" customHeight="1">
      <c r="A3" s="2" t="str">
        <v>Defaults: baseline 25 min; post-return 120 min; target 25 fps. Bottom view.</v>
      </c>
      <c r="B3" s="2"/>
      <c r="C3" s="2"/>
      <c r="D3" s="2"/>
      <c r="E3" s="2"/>
      <c r="F3" s="2"/>
      <c r="G3" s="2"/>
      <c r="H3" s="2"/>
    </row>
    <row r="4" ht="18" customHeight="1">
      <c r="A4" s="2"/>
      <c r="B4" s="2"/>
      <c r="C4" s="2"/>
      <c r="D4" s="2"/>
      <c r="E4" s="2"/>
      <c r="F4" s="2"/>
      <c r="G4" s="2"/>
      <c r="H4" s="2"/>
    </row>
    <row r="5" ht="18" customHeight="1">
      <c r="A5" s="2" t="str">
        <v>Mouse ID</v>
      </c>
      <c r="B5" s="17" t="str">
        <f>IF(Cohort!A19="","",Cohort!A19)</f>
      </c>
      <c r="C5" s="17"/>
      <c r="D5" s="17"/>
      <c r="E5" s="2" t="str">
        <v>Group</v>
      </c>
      <c r="F5" s="17" t="str">
        <f>IF(Cohort!D19="","",Cohort!D19)</f>
      </c>
      <c r="G5" s="17"/>
      <c r="H5" s="17"/>
    </row>
    <row r="6" ht="18" customHeight="1">
      <c r="A6" s="2" t="str">
        <v>Sex</v>
      </c>
      <c r="B6" s="17" t="str">
        <f>IF(Cohort!B19="","",Cohort!B19)</f>
      </c>
      <c r="C6" s="17"/>
      <c r="D6" s="17"/>
      <c r="E6" s="2" t="str">
        <v>Cage</v>
      </c>
      <c r="F6" s="17" t="str">
        <f>IF(Cohort!C19="","",Cohort!C19)</f>
      </c>
      <c r="G6" s="17"/>
      <c r="H6" s="17"/>
    </row>
    <row r="7" ht="18" customHeight="1">
      <c r="A7" s="2" t="str">
        <v>Weight (g)</v>
      </c>
      <c r="B7" s="18" t="str">
        <f>IF(Cohort!E19="","",Cohort!E19)</f>
      </c>
      <c r="C7" s="17"/>
      <c r="D7" s="17"/>
      <c r="E7" s="2" t="str">
        <v>Date</v>
      </c>
      <c r="F7" s="17" t="str">
        <f>IF(Cohort!H19="","",Cohort!H19)</f>
      </c>
      <c r="G7" s="17"/>
      <c r="H7" s="17"/>
    </row>
    <row r="8" ht="18" customHeight="1">
      <c r="A8" s="2" t="str">
        <v>Calculated mL</v>
      </c>
      <c r="B8" s="15" t="str">
        <f>IF(Cohort!F19="","",Cohort!F19)</f>
      </c>
      <c r="C8" s="17"/>
      <c r="D8" s="17"/>
      <c r="E8" s="2" t="str">
        <v>Actual mL</v>
      </c>
      <c r="F8" s="15" t="str">
        <f>IF(Cohort!G19="","",Cohort!G19)</f>
      </c>
      <c r="G8" s="17"/>
      <c r="H8" s="17"/>
    </row>
    <row r="9" ht="18" customHeight="1">
      <c r="A9" s="2" t="str">
        <v>Operator</v>
      </c>
      <c r="B9" s="17" t="str">
        <f>IF(Cohort!I19="","",Cohort!I19)</f>
      </c>
      <c r="C9" s="17"/>
      <c r="D9" s="17"/>
      <c r="E9" s="2" t="str">
        <v>Session status</v>
      </c>
      <c r="F9" s="17" t="str">
        <f>IF(Cohort!J19="","",Cohort!J19)</f>
      </c>
      <c r="G9" s="17"/>
      <c r="H9" s="17"/>
    </row>
    <row r="10" ht="18" customHeight="1">
      <c r="A10" s="2"/>
      <c r="B10" s="2"/>
      <c r="C10" s="2"/>
      <c r="D10" s="2"/>
      <c r="E10" s="2"/>
      <c r="F10" s="2"/>
      <c r="G10" s="2"/>
      <c r="H10" s="2"/>
    </row>
    <row r="11" ht="18" customHeight="1">
      <c r="A11" s="20" t="str">
        <v>Injection and return</v>
      </c>
      <c r="B11" s="20"/>
      <c r="C11" s="20"/>
      <c r="D11" s="20"/>
      <c r="E11" s="20"/>
      <c r="F11" s="20"/>
      <c r="G11" s="20"/>
      <c r="H11" s="20"/>
    </row>
    <row r="12" ht="18" customHeight="1">
      <c r="A12" s="2" t="str">
        <v>Injection time</v>
      </c>
      <c r="B12" s="2"/>
      <c r="C12" s="2"/>
      <c r="D12" s="2"/>
      <c r="E12" s="2"/>
      <c r="F12" s="2"/>
      <c r="G12" s="2"/>
      <c r="H12" s="2"/>
    </row>
    <row r="13" ht="18" customHeight="1">
      <c r="A13" s="2" t="str">
        <v>Return confirmed</v>
      </c>
      <c r="B13" s="2"/>
      <c r="C13" s="2"/>
      <c r="D13" s="2"/>
      <c r="E13" s="2"/>
      <c r="F13" s="2"/>
      <c r="G13" s="2"/>
      <c r="H13" s="2"/>
    </row>
    <row r="14" ht="18" customHeight="1">
      <c r="A14" s="2" t="str">
        <v>Lot / route / notes</v>
      </c>
      <c r="B14" s="2"/>
      <c r="C14" s="2"/>
      <c r="D14" s="2"/>
      <c r="E14" s="2"/>
      <c r="F14" s="2"/>
      <c r="G14" s="2"/>
      <c r="H14" s="2"/>
    </row>
    <row r="15" ht="18" customHeight="1">
      <c r="A15" s="2"/>
      <c r="B15" s="2"/>
      <c r="C15" s="2"/>
      <c r="D15" s="2"/>
      <c r="E15" s="2"/>
      <c r="F15" s="2"/>
      <c r="G15" s="2"/>
      <c r="H15" s="2"/>
    </row>
    <row r="16" ht="18" customHeight="1">
      <c r="A16" s="20" t="str">
        <v>Video timestamps (local time with UTC offset when exported)</v>
      </c>
      <c r="B16" s="20"/>
      <c r="C16" s="20"/>
      <c r="D16" s="20"/>
      <c r="E16" s="20"/>
      <c r="F16" s="20"/>
      <c r="G16" s="20"/>
      <c r="H16" s="20"/>
    </row>
    <row r="17" ht="26" customHeight="1">
      <c r="A17" s="2" t="str">
        <v>Baseline start</v>
      </c>
      <c r="B17" s="21"/>
      <c r="C17" s="21"/>
      <c r="D17" s="21"/>
      <c r="E17" s="21" t="str">
        <v>End</v>
      </c>
      <c r="F17" s="21"/>
      <c r="G17" s="21"/>
      <c r="H17" s="21"/>
    </row>
    <row r="18" ht="26" customHeight="1">
      <c r="A18" s="2" t="str">
        <v>Video file</v>
      </c>
      <c r="B18" s="21"/>
      <c r="C18" s="21"/>
      <c r="D18" s="21"/>
      <c r="E18" s="21" t="str">
        <v>File status</v>
      </c>
      <c r="F18" s="21"/>
      <c r="G18" s="21"/>
      <c r="H18" s="21"/>
    </row>
    <row r="19" ht="26" customHeight="1">
      <c r="A19" s="2" t="str">
        <v>Post-return start</v>
      </c>
      <c r="B19" s="21"/>
      <c r="C19" s="21"/>
      <c r="D19" s="21"/>
      <c r="E19" s="21" t="str">
        <v>End</v>
      </c>
      <c r="F19" s="21"/>
      <c r="G19" s="21"/>
      <c r="H19" s="21"/>
    </row>
    <row r="20" ht="26" customHeight="1">
      <c r="A20" s="2" t="str">
        <v>Video file</v>
      </c>
      <c r="B20" s="21"/>
      <c r="C20" s="21"/>
      <c r="D20" s="21"/>
      <c r="E20" s="21" t="str">
        <v>File status</v>
      </c>
      <c r="F20" s="21"/>
      <c r="G20" s="21"/>
      <c r="H20" s="21"/>
    </row>
    <row r="21" ht="18" customHeight="1">
      <c r="A21" s="2" t="str">
        <v>Camera / settings</v>
      </c>
      <c r="B21" s="2"/>
      <c r="C21" s="2"/>
      <c r="D21" s="2"/>
      <c r="E21" s="2"/>
      <c r="F21" s="2"/>
      <c r="G21" s="2"/>
      <c r="H21" s="2"/>
    </row>
    <row r="22" ht="18" customHeight="1">
      <c r="A22" s="2"/>
      <c r="B22" s="2"/>
      <c r="C22" s="2"/>
      <c r="D22" s="2"/>
      <c r="E22" s="2"/>
      <c r="F22" s="2"/>
      <c r="G22" s="2"/>
      <c r="H22" s="2"/>
    </row>
    <row r="23" ht="32" customHeight="1">
      <c r="A23" s="2" t="str">
        <v>Folder</v>
      </c>
      <c r="B23" s="21"/>
      <c r="C23" s="21"/>
      <c r="D23" s="21"/>
      <c r="E23" s="21"/>
      <c r="F23" s="21"/>
      <c r="G23" s="21"/>
      <c r="H23" s="21"/>
    </row>
    <row r="24" ht="18" customHeight="1">
      <c r="A24" s="2" t="str">
        <v>Session ID</v>
      </c>
      <c r="B24" s="2"/>
      <c r="C24" s="2"/>
      <c r="D24" s="2"/>
      <c r="E24" s="2"/>
      <c r="F24" s="2"/>
      <c r="G24" s="2"/>
      <c r="H24" s="2"/>
    </row>
    <row r="25" ht="18" customHeight="1">
      <c r="A25" s="2"/>
      <c r="B25" s="2"/>
      <c r="C25" s="2"/>
      <c r="D25" s="2"/>
      <c r="E25" s="2"/>
      <c r="F25" s="2"/>
      <c r="G25" s="2"/>
      <c r="H25" s="2"/>
    </row>
    <row r="26" ht="18" customHeight="1">
      <c r="A26" s="20" t="str">
        <v>Observations, interventions and deviations</v>
      </c>
      <c r="B26" s="20"/>
      <c r="C26" s="20"/>
      <c r="D26" s="20"/>
      <c r="E26" s="20"/>
      <c r="F26" s="20"/>
      <c r="G26" s="20"/>
      <c r="H26" s="20"/>
    </row>
    <row r="27" ht="18" customHeight="1">
      <c r="A27" s="22" t="str">
        <v>Clock time</v>
      </c>
      <c r="B27" s="22" t="str">
        <v>Video sec</v>
      </c>
      <c r="C27" s="22" t="str">
        <v>Event / observation / action</v>
      </c>
      <c r="D27" s="22"/>
      <c r="E27" s="22"/>
      <c r="F27" s="22"/>
      <c r="G27" s="22"/>
      <c r="H27" s="22"/>
    </row>
    <row r="28" ht="24" customHeight="1">
      <c r="A28" s="23"/>
      <c r="B28" s="23"/>
      <c r="C28" s="24"/>
      <c r="D28" s="24"/>
      <c r="E28" s="24"/>
      <c r="F28" s="24"/>
      <c r="G28" s="24"/>
      <c r="H28" s="24"/>
    </row>
    <row r="29" ht="24" customHeight="1">
      <c r="A29" s="23"/>
      <c r="B29" s="23"/>
      <c r="C29" s="24"/>
      <c r="D29" s="24"/>
      <c r="E29" s="24"/>
      <c r="F29" s="24"/>
      <c r="G29" s="24"/>
      <c r="H29" s="24"/>
    </row>
    <row r="30" ht="24" customHeight="1">
      <c r="A30" s="23"/>
      <c r="B30" s="23"/>
      <c r="C30" s="24"/>
      <c r="D30" s="24"/>
      <c r="E30" s="24"/>
      <c r="F30" s="24"/>
      <c r="G30" s="24"/>
      <c r="H30" s="24"/>
    </row>
    <row r="31" ht="24" customHeight="1">
      <c r="A31" s="23"/>
      <c r="B31" s="23"/>
      <c r="C31" s="24"/>
      <c r="D31" s="24"/>
      <c r="E31" s="24"/>
      <c r="F31" s="24"/>
      <c r="G31" s="24"/>
      <c r="H31" s="24"/>
    </row>
    <row r="32" ht="24" customHeight="1">
      <c r="A32" s="23"/>
      <c r="B32" s="23"/>
      <c r="C32" s="24"/>
      <c r="D32" s="24"/>
      <c r="E32" s="24"/>
      <c r="F32" s="24"/>
      <c r="G32" s="24"/>
      <c r="H32" s="24"/>
    </row>
    <row r="33" ht="24" customHeight="1">
      <c r="A33" s="23"/>
      <c r="B33" s="23"/>
      <c r="C33" s="24"/>
      <c r="D33" s="24"/>
      <c r="E33" s="24"/>
      <c r="F33" s="24"/>
      <c r="G33" s="24"/>
      <c r="H33" s="24"/>
    </row>
    <row r="34" ht="24" customHeight="1">
      <c r="A34" s="23"/>
      <c r="B34" s="23"/>
      <c r="C34" s="24"/>
      <c r="D34" s="24"/>
      <c r="E34" s="24"/>
      <c r="F34" s="24"/>
      <c r="G34" s="24"/>
      <c r="H34" s="24"/>
    </row>
    <row r="35" ht="24" customHeight="1">
      <c r="A35" s="23"/>
      <c r="B35" s="23"/>
      <c r="C35" s="24"/>
      <c r="D35" s="24"/>
      <c r="E35" s="24"/>
      <c r="F35" s="24"/>
      <c r="G35" s="24"/>
      <c r="H35" s="24"/>
    </row>
    <row r="36" ht="18" customHeight="1">
      <c r="A36" s="2"/>
      <c r="B36" s="2"/>
      <c r="C36" s="2"/>
      <c r="D36" s="2"/>
      <c r="E36" s="2"/>
      <c r="F36" s="2"/>
      <c r="G36" s="2"/>
      <c r="H36" s="2"/>
    </row>
    <row r="37" ht="18" customHeight="1">
      <c r="A37" s="2" t="str">
        <v>File check: readable ____  complete ____  backed up ____  early-stop reason __________________</v>
      </c>
      <c r="B37" s="2"/>
      <c r="C37" s="2"/>
      <c r="D37" s="2"/>
      <c r="E37" s="2"/>
      <c r="F37" s="2"/>
      <c r="G37" s="2"/>
      <c r="H37" s="2"/>
    </row>
    <row r="38" ht="18" customHeight="1">
      <c r="A38" s="5" t="str">
        <v>Recorder start times are host estimates. Use video timestamps for frame-level analysis.</v>
      </c>
      <c r="B38" s="5"/>
      <c r="C38" s="5"/>
      <c r="D38" s="5"/>
      <c r="E38" s="5"/>
      <c r="F38" s="5"/>
      <c r="G38" s="5"/>
      <c r="H38" s="5"/>
    </row>
  </sheetData>
  <mergeCells>
    <mergeCell ref="A2:H2"/>
    <mergeCell ref="A3:H3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A11:H11"/>
    <mergeCell ref="B12:H12"/>
    <mergeCell ref="B13:H13"/>
    <mergeCell ref="B14:H14"/>
    <mergeCell ref="A16:H16"/>
    <mergeCell ref="B17:D17"/>
    <mergeCell ref="F17:H17"/>
    <mergeCell ref="B18:D18"/>
    <mergeCell ref="F18:H18"/>
    <mergeCell ref="B19:D19"/>
    <mergeCell ref="F19:H19"/>
    <mergeCell ref="B20:D20"/>
    <mergeCell ref="F20:H20"/>
    <mergeCell ref="B21:H21"/>
    <mergeCell ref="B23:H23"/>
    <mergeCell ref="B24:H24"/>
    <mergeCell ref="A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A37:H37"/>
    <mergeCell ref="A38:H38"/>
  </mergeCells>
  <pageMargins left=".25" right=".25" top=".3" bottom=".3" header=".1" footer=".1"/>
  <pageSetup paperSize="1" orientation="portrait" fitToWidth="1" fitToHeight="1"/>
</worksheet>
</file>